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商品リスト" sheetId="1" state="visible" r:id="rId1"/>
  </sheets>
  <definedNames/>
</workbook>
</file>

<file path=xl/styles.xml><?xml version="1.0" encoding="utf-8"?>
<styleSheet xmlns="http://schemas.openxmlformats.org/spreadsheetml/2006/main">
  <numFmts count="0"/>
  <fonts count="4">
    <font>
      <name val="Calibri"/>
      <color theme="1"/>
      <sz val="11"/>
    </font>
    <font>
      <name val="Arial"/>
      <i val="1"/>
      <color rgb="FF555555"/>
      <sz val="9"/>
    </font>
    <font>
      <name val="Arial"/>
      <b val="1"/>
      <color rgb="FFFFFFFF"/>
      <sz val="10"/>
    </font>
    <font>
      <name val="Arial"/>
      <sz val="10"/>
    </font>
  </fonts>
  <fills count="6">
    <fill>
      <patternFill/>
    </fill>
    <fill>
      <patternFill patternType="gray125"/>
    </fill>
    <fill>
      <patternFill patternType="solid">
        <fgColor rgb="FF2F5D50"/>
      </patternFill>
    </fill>
    <fill>
      <patternFill patternType="solid">
        <fgColor rgb="FFFFF6D9"/>
      </patternFill>
    </fill>
    <fill>
      <patternFill patternType="solid">
        <fgColor rgb="FFFDE2E1"/>
      </patternFill>
    </fill>
    <fill>
      <patternFill patternType="solid">
        <fgColor rgb="00FFF6D9"/>
      </patternFill>
    </fill>
  </fills>
  <borders count="2">
    <border/>
    <border>
      <left style="thin">
        <color rgb="FFD9D9D9"/>
      </left>
      <right style="thin">
        <color rgb="FFD9D9D9"/>
      </right>
      <top style="thin">
        <color rgb="FFD9D9D9"/>
      </top>
      <bottom style="thin">
        <color rgb="FFD9D9D9"/>
      </bottom>
    </border>
  </borders>
  <cellStyleXfs count="1">
    <xf numFmtId="0" fontId="0" fillId="0" borderId="0"/>
  </cellStyleXfs>
  <cellXfs count="15">
    <xf numFmtId="0" fontId="0" fillId="0" borderId="0" pivotButton="0" quotePrefix="0" xfId="0"/>
    <xf numFmtId="0" fontId="2" fillId="2" borderId="1" applyAlignment="1" pivotButton="0" quotePrefix="0" xfId="0">
      <alignment vertical="center" wrapText="1"/>
    </xf>
    <xf numFmtId="0" fontId="3" fillId="0" borderId="1" applyAlignment="1" pivotButton="0" quotePrefix="0" xfId="0">
      <alignment vertical="top"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4" borderId="1" applyAlignment="1" pivotButton="0" quotePrefix="0" xfId="0">
      <alignment vertical="top" wrapText="1"/>
    </xf>
    <xf numFmtId="0" fontId="0" fillId="4" borderId="1" applyAlignment="1" pivotButton="0" quotePrefix="0" xfId="0">
      <alignment horizontal="center" vertical="center" wrapText="1"/>
    </xf>
    <xf numFmtId="0" fontId="0" fillId="4" borderId="1" applyAlignment="1" pivotButton="0" quotePrefix="0" xfId="0">
      <alignment horizontal="left" vertical="center" wrapText="1"/>
    </xf>
    <xf numFmtId="0" fontId="1" fillId="0" borderId="0" applyAlignment="1" pivotButton="0" quotePrefix="0" xfId="0">
      <alignment vertical="top" wrapText="1"/>
    </xf>
    <xf numFmtId="0" fontId="0" fillId="0" borderId="0" pivotButton="0" quotePrefix="0" xfId="0"/>
    <xf numFmtId="0" fontId="0" fillId="0" borderId="0" applyAlignment="1" pivotButton="0" quotePrefix="0" xfId="0">
      <alignment wrapText="1"/>
    </xf>
    <xf numFmtId="0" fontId="0" fillId="5" borderId="1" applyAlignment="1" pivotButton="0" quotePrefix="0" xfId="0">
      <alignment horizontal="center" vertical="center" wrapText="1"/>
    </xf>
    <xf numFmtId="0" fontId="0" fillId="5" borderId="1" applyAlignment="1" pivotButton="0" quotePrefix="0" xfId="0">
      <alignment horizontal="lef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10" defaultColWidth="8.83203125" defaultRowHeight="15"/>
  <cols>
    <col width="16" customWidth="1" style="11" min="1" max="1"/>
    <col width="30" customWidth="1" style="11" min="2" max="2"/>
    <col width="32" customWidth="1" style="11" min="3" max="4"/>
    <col width="28" customWidth="1" style="11" min="5" max="5"/>
    <col width="16" customWidth="1" style="11" min="6" max="6"/>
    <col width="48" customWidth="1" style="11" min="7" max="7"/>
    <col width="10" customWidth="1" style="11" min="8" max="8"/>
    <col width="28" customWidth="1" style="11" min="9" max="9"/>
  </cols>
  <sheetData>
    <row r="1" ht="28" customHeight="1" s="11">
      <c r="A1" s="10" t="inlineStr">
        <is>
          <t>v4: Duro-Tussの成分表記を修正、Betadineは確認済みとして確定しました。残りは前回同様、黄色=要確認、それ以外はOK/要修正が入っています。</t>
        </is>
      </c>
    </row>
    <row r="2" ht="28" customHeight="1" s="11">
      <c r="A2" s="1" t="inlineStr">
        <is>
          <t>カテゴリ</t>
        </is>
      </c>
      <c r="B2" s="1" t="inlineStr">
        <is>
          <t>brand_name_en(店頭表記)</t>
        </is>
      </c>
      <c r="C2" s="1" t="inlineStr">
        <is>
          <t>description_ja(下書き)</t>
        </is>
      </c>
      <c r="D2" s="1" t="inlineStr">
        <is>
          <t>active_ingredient</t>
        </is>
      </c>
      <c r="E2" s="1" t="inlineStr">
        <is>
          <t>caution_flags(下書き)</t>
        </is>
      </c>
      <c r="F2" s="1" t="inlineStr">
        <is>
          <t>state_note(州差異があれば)</t>
        </is>
      </c>
      <c r="G2" s="1" t="inlineStr">
        <is>
          <t>source_note</t>
        </is>
      </c>
      <c r="H2" s="1" t="inlineStr">
        <is>
          <t>確認</t>
        </is>
      </c>
      <c r="I2" s="1" t="inlineStr">
        <is>
          <t>コメント(Nao)</t>
        </is>
      </c>
    </row>
    <row r="3" ht="56" customHeight="1" s="11">
      <c r="A3" s="2" t="inlineStr">
        <is>
          <t>風邪(複合症状)</t>
        </is>
      </c>
      <c r="B3" s="2" t="inlineStr">
        <is>
          <t>Demazin Cold &amp; Flu Relief Day + Night</t>
        </is>
      </c>
      <c r="C3" s="2" t="inlineStr">
        <is>
          <t>発熱・鼻づまり・喉の痛みなど複数症状に効く総合感冒薬。昼夜で成分が異なる</t>
        </is>
      </c>
      <c r="D3" s="2" t="inlineStr">
        <is>
          <t>Day: Paracetamol 500mg, Phenylephrine hydrochloride 5mg / Night: 上記+Chlorphenamine maleate 2mg(抗ヒスタミン)</t>
        </is>
      </c>
      <c r="E3" s="2" t="inlineStr">
        <is>
          <t>12歳以上 / Day非眠気 / Night剤は眠気の可能性あり</t>
        </is>
      </c>
      <c r="F3" s="2" t="n"/>
      <c r="G3" s="2" t="inlineStr">
        <is>
          <t>Chemist Warehouse商品ページ</t>
        </is>
      </c>
      <c r="H3" s="3" t="inlineStr">
        <is>
          <t>OK</t>
        </is>
      </c>
      <c r="I3" s="4" t="n"/>
    </row>
    <row r="4" ht="48" customHeight="1" s="11">
      <c r="A4" s="2" t="inlineStr">
        <is>
          <t>風邪(複合症状)</t>
        </is>
      </c>
      <c r="B4" s="2" t="inlineStr">
        <is>
          <t>Nurofen Cold and Flu Multi-Symptom Relief</t>
        </is>
      </c>
      <c r="C4" s="2" t="inlineStr">
        <is>
          <t>発熱・鼻づまり・喉の痛みに効く鎮痛系感冒薬</t>
        </is>
      </c>
      <c r="D4" s="2" t="inlineStr">
        <is>
          <t>Ibuprofen 200mg, Phenylephrine hydrochloride 5mg</t>
        </is>
      </c>
      <c r="E4" s="2" t="inlineStr">
        <is>
          <t>12歳以上 / 非眠気タイプ / 胃腸に負担の可能性(NSAID)</t>
        </is>
      </c>
      <c r="F4" s="2" t="n"/>
      <c r="G4" s="2" t="inlineStr">
        <is>
          <t>Chemist Warehouse商品ページ</t>
        </is>
      </c>
      <c r="H4" s="5" t="inlineStr">
        <is>
          <t>OK</t>
        </is>
      </c>
      <c r="I4" s="6" t="inlineStr">
        <is>
          <t>Naoさんコメント: そこまで処方頻度は高くない印象</t>
        </is>
      </c>
    </row>
    <row r="5" ht="28" customHeight="1" s="11">
      <c r="A5" s="2" t="inlineStr">
        <is>
          <t>喉の痛み</t>
        </is>
      </c>
      <c r="B5" s="2" t="inlineStr">
        <is>
          <t>Difflam Sore Throat Spray</t>
        </is>
      </c>
      <c r="C5" s="2" t="inlineStr">
        <is>
          <t>喉の痛み・口内炎に効く鎮痛スプレー</t>
        </is>
      </c>
      <c r="D5" s="2" t="inlineStr">
        <is>
          <t>Benzydamine hydrochloride</t>
        </is>
      </c>
      <c r="E5" s="2" t="inlineStr">
        <is>
          <t>12歳以上</t>
        </is>
      </c>
      <c r="F5" s="2" t="n"/>
      <c r="G5" s="2" t="inlineStr">
        <is>
          <t>Chemist Warehouse商品ページ</t>
        </is>
      </c>
      <c r="H5" s="3" t="inlineStr">
        <is>
          <t>OK</t>
        </is>
      </c>
      <c r="I5" s="4" t="n"/>
    </row>
    <row r="6" ht="28" customHeight="1" s="11">
      <c r="A6" s="2" t="inlineStr">
        <is>
          <t>喉の痛み</t>
        </is>
      </c>
      <c r="B6" s="2" t="inlineStr">
        <is>
          <t>Betadine Sore Throat Gargle</t>
        </is>
      </c>
      <c r="C6" s="2" t="inlineStr">
        <is>
          <t>殺菌成分入りのうがい薬、喉の痛みに(Isoginの代替候補として提案)</t>
        </is>
      </c>
      <c r="D6" s="2" t="inlineStr">
        <is>
          <t>Povidone-iodine 1〜7.5% w/v(製品により異なる)</t>
        </is>
      </c>
      <c r="E6" s="2" t="inlineStr">
        <is>
          <t>甲状腺疾患のある方は要相談</t>
        </is>
      </c>
      <c r="F6" s="2" t="n"/>
      <c r="G6" s="2" t="inlineStr">
        <is>
          <t>Chemist Warehouse商品ページ</t>
        </is>
      </c>
      <c r="H6" s="5" t="inlineStr">
        <is>
          <t>OK</t>
        </is>
      </c>
      <c r="I6" s="6" t="n"/>
    </row>
    <row r="7" ht="32" customHeight="1" s="11">
      <c r="A7" s="2" t="inlineStr">
        <is>
          <t>咳</t>
        </is>
      </c>
      <c r="B7" s="2" t="inlineStr">
        <is>
          <t>Duro-Tuss Dry Cough Liquid Forte</t>
        </is>
      </c>
      <c r="C7" s="2" t="inlineStr">
        <is>
          <t>乾いた咳(痰の絡まない咳)用の鎮咳シロップ</t>
        </is>
      </c>
      <c r="D7" s="2" t="inlineStr">
        <is>
          <t>Dextromethorphan hydrobromide monohydrate（Forte処方、ハーブ成分は含まない）</t>
        </is>
      </c>
      <c r="E7" s="2" t="inlineStr">
        <is>
          <t>非眠気</t>
        </is>
      </c>
      <c r="F7" s="2" t="n"/>
      <c r="G7" s="2" t="inlineStr">
        <is>
          <t>Chemist Warehouse商品ページ</t>
        </is>
      </c>
      <c r="H7" s="13" t="n"/>
      <c r="I7" s="14" t="n"/>
    </row>
    <row r="8" ht="28" customHeight="1" s="11">
      <c r="A8" s="2" t="inlineStr">
        <is>
          <t>咳</t>
        </is>
      </c>
      <c r="B8" s="2" t="inlineStr">
        <is>
          <t>Duro-Tuss Chesty Cough Liquid Forte</t>
        </is>
      </c>
      <c r="C8" s="2" t="inlineStr">
        <is>
          <t>痰が絡む咳用の去痰シロップ</t>
        </is>
      </c>
      <c r="D8" s="2" t="inlineStr">
        <is>
          <t>Bromhexine hydrochloride 8mg, Guaiphenesin 200mg</t>
        </is>
      </c>
      <c r="E8" s="2" t="inlineStr">
        <is>
          <t>糖尿病の方も使用可とされる</t>
        </is>
      </c>
      <c r="F8" s="2" t="n"/>
      <c r="G8" s="2" t="inlineStr">
        <is>
          <t>Chemist Warehouse商品ページ</t>
        </is>
      </c>
      <c r="H8" s="3" t="inlineStr">
        <is>
          <t>OK</t>
        </is>
      </c>
      <c r="I8" s="4" t="n"/>
    </row>
    <row r="9" ht="42" customHeight="1" s="11">
      <c r="A9" s="2" t="inlineStr">
        <is>
          <t>お腹の不調</t>
        </is>
      </c>
      <c r="B9" s="2" t="inlineStr">
        <is>
          <t>Gastro-Stop</t>
        </is>
      </c>
      <c r="C9" s="2" t="inlineStr">
        <is>
          <t>下痢の症状を抑えるカプセル(豪州で1位の下痢止めブランド)</t>
        </is>
      </c>
      <c r="D9" s="2" t="inlineStr">
        <is>
          <t>Loperamide 2mg</t>
        </is>
      </c>
      <c r="E9" s="2" t="inlineStr">
        <is>
          <t>12歳以上 / 症状が48時間以上続く場合は要受診</t>
        </is>
      </c>
      <c r="F9" s="2" t="n"/>
      <c r="G9" s="2" t="inlineStr">
        <is>
          <t>Chemist Warehouse商品ページ</t>
        </is>
      </c>
      <c r="H9" s="5" t="inlineStr">
        <is>
          <t>OK</t>
        </is>
      </c>
      <c r="I9" s="6" t="n"/>
    </row>
    <row r="10" ht="28" customHeight="1" s="11">
      <c r="A10" s="2" t="inlineStr">
        <is>
          <t>お腹の不調</t>
        </is>
      </c>
      <c r="B10" s="2" t="inlineStr">
        <is>
          <t>Buscopan</t>
        </is>
      </c>
      <c r="C10" s="2" t="inlineStr">
        <is>
          <t>胃・腹部のけいれん痛を和らげる錠剤</t>
        </is>
      </c>
      <c r="D10" s="2" t="inlineStr">
        <is>
          <t>Hyoscine butylbromide 10mg</t>
        </is>
      </c>
      <c r="E10" s="2" t="inlineStr">
        <is>
          <t>6歳以上</t>
        </is>
      </c>
      <c r="F10" s="2" t="n"/>
      <c r="G10" s="2" t="inlineStr">
        <is>
          <t>Chemist Warehouse / Buscopan公式サイト</t>
        </is>
      </c>
      <c r="H10" s="5" t="inlineStr">
        <is>
          <t>OK</t>
        </is>
      </c>
      <c r="I10" s="6" t="n"/>
    </row>
    <row r="11" ht="28" customHeight="1" s="11">
      <c r="A11" s="2" t="inlineStr">
        <is>
          <t>頭痛・発熱</t>
        </is>
      </c>
      <c r="B11" s="2" t="inlineStr">
        <is>
          <t>Panadol</t>
        </is>
      </c>
      <c r="C11" s="2" t="inlineStr">
        <is>
          <t>頭痛・発熱に効く鎮痛解熱剤、胃に優しい</t>
        </is>
      </c>
      <c r="D11" s="2" t="inlineStr">
        <is>
          <t>Paracetamol 500mg</t>
        </is>
      </c>
      <c r="E11" s="2" t="inlineStr">
        <is>
          <t>7歳以上</t>
        </is>
      </c>
      <c r="F11" s="2" t="n"/>
      <c r="G11" s="2" t="inlineStr">
        <is>
          <t>Chemist Warehouse商品ページ</t>
        </is>
      </c>
      <c r="H11" s="5" t="inlineStr">
        <is>
          <t>OK</t>
        </is>
      </c>
      <c r="I11" s="6" t="n"/>
    </row>
    <row r="12" ht="28" customHeight="1" s="11">
      <c r="A12" s="2" t="inlineStr">
        <is>
          <t>頭痛・発熱</t>
        </is>
      </c>
      <c r="B12" s="2" t="inlineStr">
        <is>
          <t>Nurofen</t>
        </is>
      </c>
      <c r="C12" s="2" t="inlineStr">
        <is>
          <t>頭痛・発熱・炎症に効く鎮痛剤</t>
        </is>
      </c>
      <c r="D12" s="2" t="inlineStr">
        <is>
          <t>Ibuprofen 200mg</t>
        </is>
      </c>
      <c r="E12" s="2" t="inlineStr">
        <is>
          <t>7歳以上 / 胃腸に負担の可能性(NSAID)</t>
        </is>
      </c>
      <c r="F12" s="2" t="n"/>
      <c r="G12" s="2" t="inlineStr">
        <is>
          <t>Chemist Warehouse商品ページ</t>
        </is>
      </c>
      <c r="H12" s="5" t="inlineStr">
        <is>
          <t>OK</t>
        </is>
      </c>
      <c r="I12" s="6" t="n"/>
    </row>
    <row r="13" ht="28" customHeight="1" s="11">
      <c r="A13" s="2" t="inlineStr">
        <is>
          <t>アレルギー・花粉症</t>
        </is>
      </c>
      <c r="B13" s="2" t="inlineStr">
        <is>
          <t>Telfast</t>
        </is>
      </c>
      <c r="C13" s="2" t="inlineStr">
        <is>
          <t>非眠気タイプの花粉症・アレルギー薬、効果は最大24時間</t>
        </is>
      </c>
      <c r="D13" s="2" t="inlineStr">
        <is>
          <t>Fexofenadine hydrochloride 180mg</t>
        </is>
      </c>
      <c r="E13" s="2" t="inlineStr">
        <is>
          <t>非眠気 / 12歳以上</t>
        </is>
      </c>
      <c r="F13" s="2" t="n"/>
      <c r="G13" s="2" t="inlineStr">
        <is>
          <t>Chemist Warehouse商品ページ</t>
        </is>
      </c>
      <c r="H13" s="5" t="inlineStr">
        <is>
          <t>OK</t>
        </is>
      </c>
      <c r="I13" s="6" t="n"/>
    </row>
    <row r="14" ht="28" customHeight="1" s="11">
      <c r="A14" s="2" t="inlineStr">
        <is>
          <t>アレルギー・花粉症</t>
        </is>
      </c>
      <c r="B14" s="2" t="inlineStr">
        <is>
          <t>Claratyne</t>
        </is>
      </c>
      <c r="C14" s="2" t="inlineStr">
        <is>
          <t>24時間効果の非眠気タイプ抗ヒスタミン薬</t>
        </is>
      </c>
      <c r="D14" s="2" t="inlineStr">
        <is>
          <t>Loratadine 10mg</t>
        </is>
      </c>
      <c r="E14" s="2" t="inlineStr">
        <is>
          <t>非眠気</t>
        </is>
      </c>
      <c r="F14" s="2" t="n"/>
      <c r="G14" s="2" t="inlineStr">
        <is>
          <t>Chemist Warehouse商品ページ</t>
        </is>
      </c>
      <c r="H14" s="5" t="inlineStr">
        <is>
          <t>OK</t>
        </is>
      </c>
      <c r="I14" s="6" t="n"/>
    </row>
    <row r="15" ht="28" customHeight="1" s="11">
      <c r="A15" s="2" t="inlineStr">
        <is>
          <t>虫刺され</t>
        </is>
      </c>
      <c r="B15" s="2" t="inlineStr">
        <is>
          <t>Soov Bite</t>
        </is>
      </c>
      <c r="C15" s="2" t="inlineStr">
        <is>
          <t>虫刺され・虫刺傷の痛みとかゆみを抑えるジェル</t>
        </is>
      </c>
      <c r="D15" s="2" t="inlineStr">
        <is>
          <t>Lidocaine hydrochloride 3%, Cetrimide 0.5%</t>
        </is>
      </c>
      <c r="E15" s="2" t="inlineStr">
        <is>
          <t>2歳以上 / 湿疹・皮膚炎には使用不可</t>
        </is>
      </c>
      <c r="F15" s="2" t="n"/>
      <c r="G15" s="2" t="inlineStr">
        <is>
          <t>Chemist Warehouse商品ページ</t>
        </is>
      </c>
      <c r="H15" s="3" t="inlineStr">
        <is>
          <t>OK</t>
        </is>
      </c>
      <c r="I15" s="4" t="n"/>
    </row>
    <row r="16" ht="28" customHeight="1" s="11">
      <c r="A16" s="2" t="inlineStr">
        <is>
          <t>擦り傷</t>
        </is>
      </c>
      <c r="B16" s="2" t="inlineStr">
        <is>
          <t>Bepanthen Antiseptic Cream</t>
        </is>
      </c>
      <c r="C16" s="2" t="inlineStr">
        <is>
          <t>傷・虫刺され・日焼けなど幅広く使える抗菌クリーム</t>
        </is>
      </c>
      <c r="D16" s="2" t="inlineStr">
        <is>
          <t>Dexpanthenol配合の抗菌クリーム</t>
        </is>
      </c>
      <c r="E16" s="2" t="inlineStr">
        <is>
          <t>赤ちゃんにも使用可とされる</t>
        </is>
      </c>
      <c r="F16" s="2" t="n"/>
      <c r="G16" s="2" t="inlineStr">
        <is>
          <t>Chemist Warehouse / Bepanthen公式サイト</t>
        </is>
      </c>
      <c r="H16" s="3" t="inlineStr">
        <is>
          <t>OK</t>
        </is>
      </c>
      <c r="I16" s="4" t="n"/>
    </row>
    <row r="17" ht="28" customHeight="1" s="11">
      <c r="A17" s="2" t="inlineStr">
        <is>
          <t>日焼け</t>
        </is>
      </c>
      <c r="B17" s="2" t="inlineStr">
        <is>
          <t>Crystasoothe Burn Gel</t>
        </is>
      </c>
      <c r="C17" s="2" t="inlineStr">
        <is>
          <t>日焼け・軽度のやけどを冷却・保護するアロエ配合ジェル</t>
        </is>
      </c>
      <c r="D17" s="2" t="inlineStr">
        <is>
          <t>Aloe vera配合(その他Carbomer等)</t>
        </is>
      </c>
      <c r="E17" s="2" t="inlineStr">
        <is>
          <t>年齢制限の記載なし</t>
        </is>
      </c>
      <c r="F17" s="2" t="n"/>
      <c r="G17" s="2" t="inlineStr">
        <is>
          <t>Chemist Warehouse商品ページ</t>
        </is>
      </c>
      <c r="H17" s="3" t="inlineStr">
        <is>
          <t>OK</t>
        </is>
      </c>
      <c r="I17" s="4" t="n"/>
    </row>
    <row r="18" ht="78" customHeight="1" s="11">
      <c r="A18" s="12" t="inlineStr">
        <is>
          <t>風邪(複合症状)</t>
        </is>
      </c>
      <c r="B18" s="12" t="inlineStr">
        <is>
          <t>Codral PE Day &amp; Night Tablets 48 Pack</t>
        </is>
      </c>
      <c r="C18" s="12" t="inlineStr">
        <is>
          <t>頭痛・発熱・喉の痛み・鼻づまりや鼻水など、風邪の複数症状を昼夜に分けて和らげる</t>
        </is>
      </c>
      <c r="D18" s="12" t="inlineStr">
        <is>
          <t>Day: Paracetamol 500mg, Phenylephrine hydrochloride 5mg / Night: 上記 + Chlorpheniramine maleate 2mg</t>
        </is>
      </c>
      <c r="E18" s="12" t="inlineStr">
        <is>
          <t>12歳以上 / Dayは非眠気 / Night剤は眠気の可能性あり / 他のパラセタモール製品と併用しない</t>
        </is>
      </c>
      <c r="F18" s="12" t="n"/>
      <c r="G18" s="12" t="inlineStr">
        <is>
          <t>https://www.chemistwarehouse.com.au/buy/85158/codral-pe-day-night-tablets-48-pack</t>
        </is>
      </c>
      <c r="H18" s="12" t="inlineStr">
        <is>
          <t>要確認</t>
        </is>
      </c>
      <c r="I18" s="12" t="n"/>
    </row>
    <row r="19" ht="78" customHeight="1" s="11">
      <c r="A19" s="12" t="inlineStr">
        <is>
          <t>風邪(複合症状)</t>
        </is>
      </c>
      <c r="B19" s="12" t="inlineStr">
        <is>
          <t>Dimetapp Cough Cold &amp; Flu Day &amp; Night 48 Capsules</t>
        </is>
      </c>
      <c r="C19" s="12" t="inlineStr">
        <is>
          <t>発熱・頭痛・体の痛み・鼻づまり・乾いた咳などを昼夜に分けて和らげる総合感冒薬</t>
        </is>
      </c>
      <c r="D19" s="12" t="inlineStr">
        <is>
          <t>Day: Paracetamol 500mg, Dextromethorphan HBr 10mg, Phenylephrine HCl 5mg / Night: Paracetamol 500mg, Dextromethorphan HBr 10mg, Chlorpheniramine maleate 2mg</t>
        </is>
      </c>
      <c r="E19" s="12" t="inlineStr">
        <is>
          <t>12歳以上 / Night剤は眠気の可能性あり / 他のパラセタモール製品と併用しない</t>
        </is>
      </c>
      <c r="F19" s="12" t="n"/>
      <c r="G19" s="12" t="inlineStr">
        <is>
          <t>https://www.chemistwarehouse.com.au/buy/124587/dimetapp-cough-cold-flu-day-night-48-capsules</t>
        </is>
      </c>
      <c r="H19" s="12" t="inlineStr">
        <is>
          <t>要確認</t>
        </is>
      </c>
      <c r="I19" s="12" t="n"/>
    </row>
    <row r="20" ht="78" customHeight="1" s="11">
      <c r="A20" s="12" t="inlineStr">
        <is>
          <t>喉の痛み</t>
        </is>
      </c>
      <c r="B20" s="12" t="inlineStr">
        <is>
          <t>Strepsils Throat Lozenges Soothing Honey &amp; Lemon 36 Pack</t>
        </is>
      </c>
      <c r="C20" s="12" t="inlineStr">
        <is>
          <t>喉の不快感を和らげる、抗菌成分入りの定番トローチ</t>
        </is>
      </c>
      <c r="D20" s="12" t="inlineStr">
        <is>
          <t>Dichlorobenzyl alcohol 1.2mg, Amylmetacresol 600micrograms</t>
        </is>
      </c>
      <c r="E20" s="12" t="inlineStr">
        <is>
          <t>6歳超 / 糖類を含む / 症状が続く場合は要相談</t>
        </is>
      </c>
      <c r="F20" s="12" t="n"/>
      <c r="G20" s="12" t="inlineStr">
        <is>
          <t>https://www.chemistwarehouse.com.au/buy/53953/strepsils-sore-throat-lozenges-antibacterial-honey-lemon-36-pack</t>
        </is>
      </c>
      <c r="H20" s="12" t="inlineStr">
        <is>
          <t>要確認</t>
        </is>
      </c>
      <c r="I20" s="12" t="n"/>
    </row>
    <row r="21" ht="78" customHeight="1" s="11">
      <c r="A21" s="12" t="inlineStr">
        <is>
          <t>喉の痛み</t>
        </is>
      </c>
      <c r="B21" s="12" t="inlineStr">
        <is>
          <t>Difflam Sore Throat Sugar Free Honey &amp; Lemon 16 Lozenges</t>
        </is>
      </c>
      <c r="C21" s="12" t="inlineStr">
        <is>
          <t>炎症による喉の痛みや腫れを和らげる、抗炎症・抗菌タイプのトローチ</t>
        </is>
      </c>
      <c r="D21" s="12" t="inlineStr">
        <is>
          <t>Benzydamine hydrochloride 3mg, Cetylpyridinium chloride 1.33mg</t>
        </is>
      </c>
      <c r="E21" s="12" t="inlineStr">
        <is>
          <t>6歳以上 / 抗炎症薬へのアレルギーがある方は使用不可 / 過量で下痢の可能性</t>
        </is>
      </c>
      <c r="F21" s="12" t="n"/>
      <c r="G21" s="12" t="inlineStr">
        <is>
          <t>https://www.chemistwarehouse.com.au/buy/41060/difflam-sore-throat-sugar-free-honey-and-lemon-16-lozenges</t>
        </is>
      </c>
      <c r="H21" s="12" t="inlineStr">
        <is>
          <t>要確認</t>
        </is>
      </c>
      <c r="I21" s="12" t="n"/>
    </row>
    <row r="22" ht="78" customHeight="1" s="11">
      <c r="A22" s="12" t="inlineStr">
        <is>
          <t>咳</t>
        </is>
      </c>
      <c r="B22" s="12" t="inlineStr">
        <is>
          <t>Bisolvon Chesty Forte Oral Cough Liquid 200mL</t>
        </is>
      </c>
      <c r="C22" s="12" t="inlineStr">
        <is>
          <t>胸に絡む痰を薄めて出しやすくする、非眠気タイプの去痰シロップ</t>
        </is>
      </c>
      <c r="D22" s="12" t="inlineStr">
        <is>
          <t>Bromhexine hydrochloride 8mg/5mL</t>
        </is>
      </c>
      <c r="E22" s="12" t="inlineStr">
        <is>
          <t>6歳未満は使用不可 / 6〜11歳は専門家の助言に従う / 症状が続く場合は要相談</t>
        </is>
      </c>
      <c r="F22" s="12" t="n"/>
      <c r="G22" s="12" t="inlineStr">
        <is>
          <t>https://www.chemistwarehouse.com.au/buy/130410/bisolvon-chesty-forte-200ml</t>
        </is>
      </c>
      <c r="H22" s="12" t="inlineStr">
        <is>
          <t>要確認</t>
        </is>
      </c>
      <c r="I22" s="12" t="n"/>
    </row>
    <row r="23" ht="78" customHeight="1" s="11">
      <c r="A23" s="12" t="inlineStr">
        <is>
          <t>咳</t>
        </is>
      </c>
      <c r="B23" s="12" t="inlineStr">
        <is>
          <t>Bisolvon Dry Cough Oral Liquid 200mL</t>
        </is>
      </c>
      <c r="C23" s="12" t="inlineStr">
        <is>
          <t>痰の絡まない乾いた刺激性の咳を抑えるシロップ</t>
        </is>
      </c>
      <c r="D23" s="12" t="inlineStr">
        <is>
          <t>Dextromethorphan hydrobromide 10mg/5mL</t>
        </is>
      </c>
      <c r="E23" s="12" t="inlineStr">
        <is>
          <t>6歳以上 / 眠気が出る可能性あり / 他の鎮咳薬や一部の抗うつ薬との併用は要相談</t>
        </is>
      </c>
      <c r="F23" s="12" t="n"/>
      <c r="G23" s="12" t="inlineStr">
        <is>
          <t>https://www.chemistwarehouse.com.au/buy/31691/bisolvon-dry-oral-liquid-200ml-cough-liquid</t>
        </is>
      </c>
      <c r="H23" s="12" t="inlineStr">
        <is>
          <t>要確認</t>
        </is>
      </c>
      <c r="I23" s="12" t="n"/>
    </row>
    <row r="24" ht="78" customHeight="1" s="11">
      <c r="A24" s="12" t="inlineStr">
        <is>
          <t>お腹の不調</t>
        </is>
      </c>
      <c r="B24" s="12" t="inlineStr">
        <is>
          <t>Mylanta 2Go Antacid Double Strength Tablets Lemon Mint 48 Pack</t>
        </is>
      </c>
      <c r="C24" s="12" t="inlineStr">
        <is>
          <t>胸やけ・消化不良・胃の不快感・ガスを和らげる携帯用のチュアブル制酸薬</t>
        </is>
      </c>
      <c r="D24" s="12" t="inlineStr">
        <is>
          <t>Magnesium hydroxide 400mg, Aluminium hydroxide 400mg, Simethicone 40mg</t>
        </is>
      </c>
      <c r="E24" s="12" t="inlineStr">
        <is>
          <t>12歳超 / 他の薬と2時間あける / 腎疾患がある方は要相談 / 14日を超えて連用しない</t>
        </is>
      </c>
      <c r="F24" s="12" t="n"/>
      <c r="G24" s="12" t="inlineStr">
        <is>
          <t>https://www.chemistwarehouse.com.au/buy/59433/mylanta-2go-antacid-double-strength-tablets-lemon-mint-48-pack</t>
        </is>
      </c>
      <c r="H24" s="12" t="inlineStr">
        <is>
          <t>要確認</t>
        </is>
      </c>
      <c r="I24" s="12" t="n"/>
    </row>
    <row r="25" ht="78" customHeight="1" s="11">
      <c r="A25" s="12" t="inlineStr">
        <is>
          <t>お腹の不調</t>
        </is>
      </c>
      <c r="B25" s="12" t="inlineStr">
        <is>
          <t>Hydralyte Electrolyte Effervescent Orange 20 Tablets</t>
        </is>
      </c>
      <c r="C25" s="12" t="inlineStr">
        <is>
          <t>嘔吐・下痢や発汗などで失われた水分と電解質の補給を助ける発泡タブレット</t>
        </is>
      </c>
      <c r="D25" s="12" t="inlineStr">
        <is>
          <t>Glucose 1.62g, Citric acid 672mg, Sodium, Potassium（各1錠）</t>
        </is>
      </c>
      <c r="E25" s="12" t="inlineStr">
        <is>
          <t>腎疾患または心臓・血圧の薬を使用中の方は要相談 / 年齢別の最大量を守る</t>
        </is>
      </c>
      <c r="F25" s="12" t="n"/>
      <c r="G25" s="12" t="inlineStr">
        <is>
          <t>https://www.chemistwarehouse.com.au/buy/61149/hydralyte-electrolyte-effervescent-orange-20-tablets</t>
        </is>
      </c>
      <c r="H25" s="12" t="inlineStr">
        <is>
          <t>要確認</t>
        </is>
      </c>
      <c r="I25" s="12" t="n"/>
    </row>
    <row r="26" ht="78" customHeight="1" s="11">
      <c r="A26" s="12" t="inlineStr">
        <is>
          <t>頭痛・発熱</t>
        </is>
      </c>
      <c r="B26" s="12" t="inlineStr">
        <is>
          <t>Panadol Rapid Paracetamol Pain Relief 32 Caplets</t>
        </is>
      </c>
      <c r="C26" s="12" t="inlineStr">
        <is>
          <t>頭痛・筋肉痛・歯痛・風邪に伴う痛みや発熱を素早く和らげる鎮痛解熱剤</t>
        </is>
      </c>
      <c r="D26" s="12" t="inlineStr">
        <is>
          <t>Paracetamol 500mg</t>
        </is>
      </c>
      <c r="E26" s="12" t="inlineStr">
        <is>
          <t>12歳以上 / 他のパラセタモール製品と併用しない / 用量超過は重い肝障害の危険</t>
        </is>
      </c>
      <c r="F26" s="12" t="n"/>
      <c r="G26" s="12" t="inlineStr">
        <is>
          <t>https://www.chemistwarehouse.com.au/buy/145676/panadol-rapid-32-caplets</t>
        </is>
      </c>
      <c r="H26" s="12" t="inlineStr">
        <is>
          <t>要確認</t>
        </is>
      </c>
      <c r="I26" s="12" t="n"/>
    </row>
    <row r="27" ht="78" customHeight="1" s="11">
      <c r="A27" s="12" t="inlineStr">
        <is>
          <t>頭痛・発熱</t>
        </is>
      </c>
      <c r="B27" s="12" t="inlineStr">
        <is>
          <t>Nurofen Zavance Fast Pain Relief Tablets 24 Pack</t>
        </is>
      </c>
      <c r="C27" s="12" t="inlineStr">
        <is>
          <t>頭痛・筋肉痛・歯痛などの痛みや炎症、発熱を和らげる速効タイプの鎮痛剤</t>
        </is>
      </c>
      <c r="D27" s="12" t="inlineStr">
        <is>
          <t>Ibuprofen sodium dihydrate 256mg（Ibuprofen 200mg相当）</t>
        </is>
      </c>
      <c r="E27" s="12" t="inlineStr">
        <is>
          <t>7歳以上 / 胃潰瘍・腎臓・心臓の問題がある方は使用不可 / NSAID</t>
        </is>
      </c>
      <c r="F27" s="12" t="n"/>
      <c r="G27" s="12" t="inlineStr">
        <is>
          <t>https://www.chemistwarehouse.com.au/buy/75994/nurofen-zavance-fast-pain-relief-tablets-200mg-ibuprofen-24-pack</t>
        </is>
      </c>
      <c r="H27" s="12" t="inlineStr">
        <is>
          <t>要確認</t>
        </is>
      </c>
      <c r="I27" s="12" t="n"/>
    </row>
    <row r="28" ht="78" customHeight="1" s="11">
      <c r="A28" s="12" t="inlineStr">
        <is>
          <t>アレルギー・花粉症</t>
        </is>
      </c>
      <c r="B28" s="12" t="inlineStr">
        <is>
          <t>Zyrtec 10mg 10 Tablets</t>
        </is>
      </c>
      <c r="C28" s="12" t="inlineStr">
        <is>
          <t>くしゃみ・鼻水・鼻のかゆみ・目のかゆみや涙目を最大24時間和らげる抗ヒスタミン薬</t>
        </is>
      </c>
      <c r="D28" s="12" t="inlineStr">
        <is>
          <t>Cetirizine hydrochloride 10mg</t>
        </is>
      </c>
      <c r="E28" s="12" t="inlineStr">
        <is>
          <t>12歳以上 / 眠気が出る可能性あり / 肝臓・腎臓疾患がある方は要相談</t>
        </is>
      </c>
      <c r="F28" s="12" t="n"/>
      <c r="G28" s="12" t="inlineStr">
        <is>
          <t>https://www.chemistwarehouse.com.au/buy/151105/zyrtec-10mg-10-tablets</t>
        </is>
      </c>
      <c r="H28" s="12" t="inlineStr">
        <is>
          <t>要確認</t>
        </is>
      </c>
      <c r="I28" s="12" t="n"/>
    </row>
    <row r="29" ht="78" customHeight="1" s="11">
      <c r="A29" s="12" t="inlineStr">
        <is>
          <t>アレルギー・花粉症</t>
        </is>
      </c>
      <c r="B29" s="12" t="inlineStr">
        <is>
          <t>Demazin Allergy &amp; Hayfever 10 Tablets</t>
        </is>
      </c>
      <c r="C29" s="12" t="inlineStr">
        <is>
          <t>くしゃみ・鼻水・目のかゆみや涙目を24時間和らげる非眠気タイプの抗ヒスタミン薬</t>
        </is>
      </c>
      <c r="D29" s="12" t="inlineStr">
        <is>
          <t>Loratadine 10mg</t>
        </is>
      </c>
      <c r="E29" s="12" t="inlineStr">
        <is>
          <t>12歳以上 / 1日1回 / 症状が5日以上続く場合は要相談</t>
        </is>
      </c>
      <c r="F29" s="12" t="n"/>
      <c r="G29" s="12" t="inlineStr">
        <is>
          <t>https://www.chemistwarehouse.com.au/buy/138343/demazin-allergy-hayfever-10-tablets</t>
        </is>
      </c>
      <c r="H29" s="12" t="inlineStr">
        <is>
          <t>要確認</t>
        </is>
      </c>
      <c r="I29" s="12" t="n"/>
    </row>
    <row r="30" ht="78" customHeight="1" s="11">
      <c r="A30" s="12" t="inlineStr">
        <is>
          <t>虫刺され</t>
        </is>
      </c>
      <c r="B30" s="12" t="inlineStr">
        <is>
          <t>Stingose Spray Pack 100mL</t>
        </is>
      </c>
      <c r="C30" s="12" t="inlineStr">
        <is>
          <t>虫刺されや植物による刺激の痛み・かゆみ・腫れを和らげる応急処置スプレー</t>
        </is>
      </c>
      <c r="D30" s="12" t="inlineStr">
        <is>
          <t>Aluminium sulfate 200mg/mL（20% w/v）</t>
        </is>
      </c>
      <c r="E30" s="12" t="inlineStr">
        <is>
          <t>外用のみ / 目に入れない / 症状が続く場合は要相談</t>
        </is>
      </c>
      <c r="F30" s="12" t="n"/>
      <c r="G30" s="12" t="inlineStr">
        <is>
          <t>https://www.chemistwarehouse.com.au/buy/31254/stingose-spray-pack-100ml</t>
        </is>
      </c>
      <c r="H30" s="12" t="inlineStr">
        <is>
          <t>要確認</t>
        </is>
      </c>
      <c r="I30" s="12" t="n"/>
    </row>
    <row r="31" ht="78" customHeight="1" s="11">
      <c r="A31" s="12" t="inlineStr">
        <is>
          <t>擦り傷</t>
        </is>
      </c>
      <c r="B31" s="12" t="inlineStr">
        <is>
          <t>Savlon Antiseptic Cream for Cuts Grazes Bites 50g</t>
        </is>
      </c>
      <c r="C31" s="12" t="inlineStr">
        <is>
          <t>切り傷・擦り傷・水ぶくれ・虫刺されなどに使える抗菌クリーム</t>
        </is>
      </c>
      <c r="D31" s="12" t="inlineStr">
        <is>
          <t>Chlorhexidine hydrochloride 1mg/g, Cetrimide 5mg/g</t>
        </is>
      </c>
      <c r="E31" s="12" t="inlineStr">
        <is>
          <t>3歳以上 / 深い傷や頭・首の開放創には使用不可 / 外用のみ</t>
        </is>
      </c>
      <c r="F31" s="12" t="n"/>
      <c r="G31" s="12" t="inlineStr">
        <is>
          <t>https://www.chemistwarehouse.com.au/buy/31228/savlon-antiseptic-cream-for-cuts-grazes-bites-50g</t>
        </is>
      </c>
      <c r="H31" s="12" t="inlineStr">
        <is>
          <t>要確認</t>
        </is>
      </c>
      <c r="I31" s="12" t="n"/>
    </row>
    <row r="32" ht="78" customHeight="1" s="11">
      <c r="A32" s="12" t="inlineStr">
        <is>
          <t>日焼け</t>
        </is>
      </c>
      <c r="B32" s="12" t="inlineStr">
        <is>
          <t>Ego Soov Antiseptic Cream 50g</t>
        </is>
      </c>
      <c r="C32" s="12" t="inlineStr">
        <is>
          <t>日焼けや軽いやけどの痛みを和らげ、感染予防を助ける抗菌クリーム</t>
        </is>
      </c>
      <c r="D32" s="12" t="inlineStr">
        <is>
          <t>Lidocaine hydrochloride 1% w/w, Cetrimide 1% w/w, Chlorhexidine gluconate 0.2% w/w</t>
        </is>
      </c>
      <c r="E32" s="12" t="inlineStr">
        <is>
          <t>外用のみ / 目に入れない / 軽いやけどは先に冷水で冷やす / 刺激が出たら中止</t>
        </is>
      </c>
      <c r="F32" s="12" t="n"/>
      <c r="G32" s="12" t="inlineStr">
        <is>
          <t>https://www.chemistwarehouse.com.au/buy/31143-ego-soov-antiseptic-cream-50g</t>
        </is>
      </c>
      <c r="H32" s="12" t="inlineStr">
        <is>
          <t>要確認</t>
        </is>
      </c>
      <c r="I32" s="12" t="n"/>
    </row>
  </sheetData>
  <mergeCells count="1">
    <mergeCell ref="A1:J1"/>
  </mergeCells>
  <dataValidations count="2">
    <dataValidation sqref="H3:H17" showDropDown="0" showInputMessage="0" showErrorMessage="0" allowBlank="1" type="list">
      <formula1>"OK,要修正,削除"</formula1>
    </dataValidation>
    <dataValidation sqref="H18:H32" showDropDown="0" showInputMessage="0" showErrorMessage="0" allowBlank="0" type="list">
      <formula1>"OK,要修正,要確認"</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2026-08-22T07:44:51Z</dcterms:created>
  <dcterms:modified xmlns:dcterms="http://purl.org/dc/terms/" xmlns:xsi="http://www.w3.org/2001/XMLSchema-instance" xsi:type="dcterms:W3CDTF">2026-08-22T07:44:51Z</dcterms:modified>
</cp:coreProperties>
</file>